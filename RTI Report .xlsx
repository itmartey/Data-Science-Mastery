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I Data Entry " sheetId="1" r:id="rId5"/>
    <sheet state="visible" name="Regional Audit" sheetId="2" r:id="rId6"/>
    <sheet state="visible" name="Compliance" sheetId="3" r:id="rId7"/>
    <sheet state="visible" name="Budget Variance " sheetId="4" r:id="rId8"/>
    <sheet state="visible" name="Cash flow" sheetId="5" r:id="rId9"/>
  </sheets>
  <definedNames/>
  <calcPr/>
</workbook>
</file>

<file path=xl/sharedStrings.xml><?xml version="1.0" encoding="utf-8"?>
<sst xmlns="http://schemas.openxmlformats.org/spreadsheetml/2006/main" count="137" uniqueCount="92">
  <si>
    <t>Request ID</t>
  </si>
  <si>
    <t>Institution Type</t>
  </si>
  <si>
    <t>Submission Date</t>
  </si>
  <si>
    <t>Priority (1-10)</t>
  </si>
  <si>
    <t>Status</t>
  </si>
  <si>
    <t>Metric</t>
  </si>
  <si>
    <t>Value</t>
  </si>
  <si>
    <t>RTI-2025-001</t>
  </si>
  <si>
    <t>Ministry</t>
  </si>
  <si>
    <t>Pending</t>
  </si>
  <si>
    <t>Total Requests Captured</t>
  </si>
  <si>
    <t>RTI-2025-002</t>
  </si>
  <si>
    <t>Agency</t>
  </si>
  <si>
    <t>Verified</t>
  </si>
  <si>
    <t>Average Priority Level</t>
  </si>
  <si>
    <t>RTI-2025-003</t>
  </si>
  <si>
    <t>District</t>
  </si>
  <si>
    <t>Flagged</t>
  </si>
  <si>
    <t>Completion Rate (%)</t>
  </si>
  <si>
    <t>RTI-2025-004</t>
  </si>
  <si>
    <t>RTI-2025-005</t>
  </si>
  <si>
    <t>RTI-2025-006</t>
  </si>
  <si>
    <t>RTI-2025-007</t>
  </si>
  <si>
    <t>RTI-2025-008</t>
  </si>
  <si>
    <t>RTI-2025-009</t>
  </si>
  <si>
    <t>RTI-2025-010</t>
  </si>
  <si>
    <t>RTI-2025-011</t>
  </si>
  <si>
    <t>RTI-2025-012</t>
  </si>
  <si>
    <t>RTI-2025-013</t>
  </si>
  <si>
    <t>RTI-2025-014</t>
  </si>
  <si>
    <t>RTI-2025-015</t>
  </si>
  <si>
    <t>RTI-2025-016</t>
  </si>
  <si>
    <t xml:space="preserve">Pending </t>
  </si>
  <si>
    <t>RTI-2025-017</t>
  </si>
  <si>
    <t>RTI-2025-018</t>
  </si>
  <si>
    <t>Region</t>
  </si>
  <si>
    <t>Requests Received</t>
  </si>
  <si>
    <t>Requests Approved</t>
  </si>
  <si>
    <t>Requests Denied</t>
  </si>
  <si>
    <t>Requests Pending</t>
  </si>
  <si>
    <t>Approval Rate (%)</t>
  </si>
  <si>
    <t>Denial Rate (%)</t>
  </si>
  <si>
    <t xml:space="preserve">STATUS/ACTION REQUIRED </t>
  </si>
  <si>
    <t>Greater Accra</t>
  </si>
  <si>
    <t>Ashanti</t>
  </si>
  <si>
    <t>Western</t>
  </si>
  <si>
    <t>Northern</t>
  </si>
  <si>
    <t>Volta</t>
  </si>
  <si>
    <t>Central</t>
  </si>
  <si>
    <t>Eastern</t>
  </si>
  <si>
    <t xml:space="preserve">Upper East </t>
  </si>
  <si>
    <t>Upper West</t>
  </si>
  <si>
    <t>Oti</t>
  </si>
  <si>
    <t>Ahafo</t>
  </si>
  <si>
    <t>Bono</t>
  </si>
  <si>
    <t xml:space="preserve">Bono East </t>
  </si>
  <si>
    <t>North East</t>
  </si>
  <si>
    <t xml:space="preserve">Western North </t>
  </si>
  <si>
    <t>Savannah</t>
  </si>
  <si>
    <t>Month</t>
  </si>
  <si>
    <t>Processed</t>
  </si>
  <si>
    <t>Avgerage Days to Respond</t>
  </si>
  <si>
    <t xml:space="preserve">Compliance Status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</si>
  <si>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</si>
  <si>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</si>
  <si>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</si>
  <si>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</si>
  <si>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</si>
  <si>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</si>
  <si>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</si>
  <si>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</si>
  <si>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</si>
  <si>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</si>
  <si>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</si>
  <si>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</si>
  <si>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Expense Category</t>
  </si>
  <si>
    <t>Budgeted (GHS)</t>
  </si>
  <si>
    <t xml:space="preserve">Actual (GHS) AS AT 1ST QUARTER </t>
  </si>
  <si>
    <t>Variance</t>
  </si>
  <si>
    <t>Burn Rate</t>
  </si>
  <si>
    <t>STATUS</t>
  </si>
  <si>
    <t xml:space="preserve">PROJECTED YEAR END TOTAL </t>
  </si>
  <si>
    <t>Public Sensitization</t>
  </si>
  <si>
    <t>IT Infrastructure</t>
  </si>
  <si>
    <t>Legal Consultancy</t>
  </si>
  <si>
    <t>Staff Training</t>
  </si>
  <si>
    <t>Vehicle Maintenance</t>
  </si>
  <si>
    <t>Printing &amp; Publicity</t>
  </si>
  <si>
    <t>Opening Balance</t>
  </si>
  <si>
    <t>Inflow (Grant)</t>
  </si>
  <si>
    <t>Outflow (Expenses)</t>
  </si>
  <si>
    <t>Closing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</si>
</sst>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2" numFmtId="0" xfId="0" applyAlignment="1" applyBorder="1" applyFont="1">
      <alignment vertical="center"/>
    </xf>
    <xf borderId="4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2" fillId="0" fontId="3" numFmtId="1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4" fillId="0" fontId="2" numFmtId="0" xfId="0" applyAlignment="1" applyBorder="1" applyFont="1">
      <alignment vertical="center"/>
    </xf>
    <xf borderId="0" fillId="0" fontId="5" numFmtId="0" xfId="0" applyFont="1"/>
    <xf borderId="6" fillId="0" fontId="2" numFmtId="0" xfId="0" applyAlignment="1" applyBorder="1" applyFont="1">
      <alignment vertical="center"/>
    </xf>
    <xf borderId="4" fillId="0" fontId="3" numFmtId="9" xfId="0" applyAlignment="1" applyBorder="1" applyFont="1" applyNumberFormat="1">
      <alignment vertical="center"/>
    </xf>
    <xf borderId="7" fillId="0" fontId="3" numFmtId="0" xfId="0" applyAlignment="1" applyBorder="1" applyFont="1">
      <alignment vertical="center"/>
    </xf>
    <xf borderId="8" fillId="0" fontId="3" numFmtId="14" xfId="0" applyAlignment="1" applyBorder="1" applyFont="1" applyNumberFormat="1">
      <alignment vertical="center"/>
    </xf>
    <xf borderId="9" fillId="0" fontId="3" numFmtId="0" xfId="0" applyAlignment="1" applyBorder="1" applyFont="1">
      <alignment vertical="center"/>
    </xf>
    <xf borderId="10" fillId="2" fontId="2" numFmtId="0" xfId="0" applyAlignment="1" applyBorder="1" applyFont="1">
      <alignment vertical="center"/>
    </xf>
    <xf borderId="4" fillId="0" fontId="6" numFmtId="9" xfId="0" applyBorder="1" applyFont="1" applyNumberFormat="1"/>
    <xf borderId="4" fillId="3" fontId="3" numFmtId="9" xfId="0" applyAlignment="1" applyBorder="1" applyFill="1" applyFont="1" applyNumberFormat="1">
      <alignment vertical="center"/>
    </xf>
    <xf borderId="4" fillId="3" fontId="6" numFmtId="0" xfId="0" applyBorder="1" applyFont="1"/>
    <xf borderId="4" fillId="0" fontId="6" numFmtId="0" xfId="0" applyBorder="1" applyFont="1"/>
    <xf borderId="2" fillId="2" fontId="2" numFmtId="0" xfId="0" applyAlignment="1" applyBorder="1" applyFont="1">
      <alignment vertical="center"/>
    </xf>
    <xf borderId="11" fillId="2" fontId="2" numFmtId="0" xfId="0" applyAlignment="1" applyBorder="1" applyFont="1">
      <alignment vertical="center"/>
    </xf>
    <xf borderId="2" fillId="0" fontId="3" numFmtId="0" xfId="0" applyAlignment="1" applyBorder="1" applyFont="1">
      <alignment horizontal="right" vertical="center"/>
    </xf>
    <xf borderId="1" fillId="4" fontId="1" numFmtId="0" xfId="0" applyBorder="1" applyFill="1" applyFont="1"/>
    <xf borderId="1" fillId="5" fontId="1" numFmtId="9" xfId="0" applyBorder="1" applyFill="1" applyFont="1" applyNumberFormat="1"/>
    <xf borderId="0" fillId="0" fontId="6" numFmtId="9" xfId="0" applyFont="1" applyNumberFormat="1"/>
    <xf borderId="2" fillId="6" fontId="2" numFmtId="0" xfId="0" applyAlignment="1" applyBorder="1" applyFill="1" applyFont="1">
      <alignment vertical="center"/>
    </xf>
    <xf borderId="2" fillId="0" fontId="3" numFmtId="3" xfId="0" applyAlignment="1" applyBorder="1" applyFont="1" applyNumberFormat="1">
      <alignment vertical="center"/>
    </xf>
    <xf borderId="8" fillId="0" fontId="3" numFmtId="9" xfId="0" applyAlignment="1" applyBorder="1" applyFont="1" applyNumberFormat="1">
      <alignment vertical="center"/>
    </xf>
    <xf borderId="4" fillId="7" fontId="6" numFmtId="0" xfId="0" applyBorder="1" applyFill="1" applyFont="1"/>
    <xf borderId="4" fillId="0" fontId="6" numFmtId="164" xfId="0" applyBorder="1" applyFont="1" applyNumberFormat="1"/>
    <xf borderId="0" fillId="0" fontId="1" numFmtId="164" xfId="0" applyAlignment="1" applyFont="1" applyNumberFormat="1">
      <alignment horizontal="right"/>
    </xf>
    <xf borderId="0" fillId="0" fontId="1" numFmtId="164" xfId="0" applyFont="1" applyNumberFormat="1"/>
    <xf borderId="2" fillId="3" fontId="2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CC0000"/>
          <bgColor rgb="FFCC0000"/>
        </patternFill>
      </fill>
      <border/>
    </dxf>
    <dxf>
      <font>
        <color rgb="FFFF0000"/>
      </font>
      <fill>
        <patternFill patternType="none"/>
      </fill>
      <border/>
    </dxf>
    <dxf>
      <font>
        <color theme="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51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9.25"/>
    <col customWidth="1" min="2" max="2" width="16.88"/>
    <col customWidth="1" min="3" max="3" width="18.25"/>
    <col customWidth="1" min="4" max="4" width="14.63"/>
    <col customWidth="1" min="5" max="5" width="9.38"/>
    <col customWidth="1" min="6" max="6" width="8.63"/>
    <col customWidth="1" min="7" max="7" width="27.0"/>
    <col customWidth="1" min="8" max="8" width="8.13"/>
    <col customWidth="1" min="9" max="9" width="9.75"/>
    <col customWidth="1" min="10" max="26" width="8.63"/>
  </cols>
  <sheetData>
    <row r="1" ht="63.75" customHeight="1">
      <c r="A1" s="1" t="str">
        <f>"ATTENTION REQUIRED: REFER TO THE TRIBUNAL DEPARTMENT: "&amp;COUNTIF(E:E,"Flagged")&amp;" FLAGGED REQUESTS"</f>
        <v>ATTENTION REQUIRED: REFER TO THE TRIBUNAL DEPARTMENT: 5 FLAGGED REQUESTS</v>
      </c>
    </row>
    <row r="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G2" s="5" t="s">
        <v>5</v>
      </c>
      <c r="H2" s="6" t="s">
        <v>6</v>
      </c>
      <c r="I2" s="7"/>
    </row>
    <row r="3">
      <c r="A3" s="8" t="s">
        <v>7</v>
      </c>
      <c r="B3" s="9" t="s">
        <v>8</v>
      </c>
      <c r="C3" s="10">
        <v>45773.0</v>
      </c>
      <c r="D3" s="9">
        <v>9.0</v>
      </c>
      <c r="E3" s="9" t="s">
        <v>9</v>
      </c>
      <c r="G3" s="11" t="s">
        <v>10</v>
      </c>
      <c r="H3" s="12">
        <f>COUNTA(A3:A20)</f>
        <v>18</v>
      </c>
      <c r="I3" s="13"/>
    </row>
    <row r="4">
      <c r="A4" s="8" t="s">
        <v>11</v>
      </c>
      <c r="B4" s="9" t="s">
        <v>12</v>
      </c>
      <c r="C4" s="10">
        <v>45718.0</v>
      </c>
      <c r="D4" s="9">
        <v>4.0</v>
      </c>
      <c r="E4" s="9" t="s">
        <v>13</v>
      </c>
      <c r="G4" s="14" t="s">
        <v>14</v>
      </c>
      <c r="H4" s="15">
        <f>AVERAGE(D3:D20,2)</f>
        <v>5.631578947</v>
      </c>
      <c r="I4" s="13"/>
    </row>
    <row r="5">
      <c r="A5" s="9" t="s">
        <v>15</v>
      </c>
      <c r="B5" s="9" t="s">
        <v>16</v>
      </c>
      <c r="C5" s="10">
        <v>45964.0</v>
      </c>
      <c r="D5" s="9">
        <v>8.0</v>
      </c>
      <c r="E5" s="9" t="s">
        <v>17</v>
      </c>
      <c r="G5" s="16" t="s">
        <v>18</v>
      </c>
      <c r="H5" s="17">
        <f>COUNTIF(E3:E20, "Verified") / COUNTA(A3:A20)</f>
        <v>0.3888888889</v>
      </c>
      <c r="I5" s="13"/>
    </row>
    <row r="6">
      <c r="A6" s="9" t="s">
        <v>19</v>
      </c>
      <c r="B6" s="9" t="s">
        <v>16</v>
      </c>
      <c r="C6" s="10">
        <v>45781.0</v>
      </c>
      <c r="D6" s="9">
        <v>2.0</v>
      </c>
      <c r="E6" s="9" t="s">
        <v>13</v>
      </c>
    </row>
    <row r="7">
      <c r="A7" s="9" t="s">
        <v>20</v>
      </c>
      <c r="B7" s="9" t="s">
        <v>16</v>
      </c>
      <c r="C7" s="10">
        <v>45662.0</v>
      </c>
      <c r="D7" s="18">
        <v>10.0</v>
      </c>
      <c r="E7" s="9" t="s">
        <v>9</v>
      </c>
    </row>
    <row r="8">
      <c r="A8" s="9" t="s">
        <v>21</v>
      </c>
      <c r="B8" s="9" t="s">
        <v>16</v>
      </c>
      <c r="C8" s="19">
        <v>45936.0</v>
      </c>
      <c r="D8" s="12">
        <v>7.0</v>
      </c>
      <c r="E8" s="9" t="s">
        <v>17</v>
      </c>
    </row>
    <row r="9">
      <c r="A9" s="9" t="s">
        <v>22</v>
      </c>
      <c r="B9" s="9" t="s">
        <v>8</v>
      </c>
      <c r="C9" s="19">
        <v>45907.0</v>
      </c>
      <c r="D9" s="12">
        <v>8.0</v>
      </c>
      <c r="E9" s="9" t="s">
        <v>13</v>
      </c>
    </row>
    <row r="10">
      <c r="A10" s="9" t="s">
        <v>23</v>
      </c>
      <c r="B10" s="9" t="s">
        <v>12</v>
      </c>
      <c r="C10" s="19">
        <v>45665.0</v>
      </c>
      <c r="D10" s="12">
        <v>5.0</v>
      </c>
      <c r="E10" s="9" t="s">
        <v>13</v>
      </c>
    </row>
    <row r="11">
      <c r="A11" s="9" t="s">
        <v>24</v>
      </c>
      <c r="B11" s="9" t="s">
        <v>8</v>
      </c>
      <c r="C11" s="19">
        <v>45817.0</v>
      </c>
      <c r="D11" s="12">
        <v>6.0</v>
      </c>
      <c r="E11" s="9" t="s">
        <v>9</v>
      </c>
    </row>
    <row r="12">
      <c r="A12" s="9" t="s">
        <v>25</v>
      </c>
      <c r="B12" s="9" t="s">
        <v>8</v>
      </c>
      <c r="C12" s="19">
        <v>46008.0</v>
      </c>
      <c r="D12" s="12">
        <v>4.0</v>
      </c>
      <c r="E12" s="9" t="s">
        <v>9</v>
      </c>
    </row>
    <row r="13">
      <c r="A13" s="9" t="s">
        <v>26</v>
      </c>
      <c r="B13" s="9" t="s">
        <v>12</v>
      </c>
      <c r="C13" s="19">
        <v>45788.0</v>
      </c>
      <c r="D13" s="12">
        <v>3.0</v>
      </c>
      <c r="E13" s="9" t="s">
        <v>17</v>
      </c>
    </row>
    <row r="14">
      <c r="A14" s="9" t="s">
        <v>27</v>
      </c>
      <c r="B14" s="9" t="s">
        <v>12</v>
      </c>
      <c r="C14" s="19">
        <v>45919.0</v>
      </c>
      <c r="D14" s="12">
        <v>8.0</v>
      </c>
      <c r="E14" s="9" t="s">
        <v>13</v>
      </c>
    </row>
    <row r="15">
      <c r="A15" s="9" t="s">
        <v>28</v>
      </c>
      <c r="B15" s="9" t="s">
        <v>12</v>
      </c>
      <c r="C15" s="19">
        <v>45670.0</v>
      </c>
      <c r="D15" s="12">
        <v>10.0</v>
      </c>
      <c r="E15" s="18" t="s">
        <v>9</v>
      </c>
    </row>
    <row r="16">
      <c r="A16" s="9" t="s">
        <v>29</v>
      </c>
      <c r="B16" s="9" t="s">
        <v>8</v>
      </c>
      <c r="C16" s="19">
        <v>45931.0</v>
      </c>
      <c r="D16" s="20">
        <v>6.0</v>
      </c>
      <c r="E16" s="12" t="s">
        <v>17</v>
      </c>
    </row>
    <row r="17">
      <c r="A17" s="9" t="s">
        <v>30</v>
      </c>
      <c r="B17" s="9" t="s">
        <v>8</v>
      </c>
      <c r="C17" s="19">
        <v>45665.0</v>
      </c>
      <c r="D17" s="20">
        <v>4.0</v>
      </c>
      <c r="E17" s="12" t="s">
        <v>13</v>
      </c>
    </row>
    <row r="18">
      <c r="A18" s="9" t="s">
        <v>31</v>
      </c>
      <c r="B18" s="9" t="s">
        <v>12</v>
      </c>
      <c r="C18" s="19">
        <v>45673.0</v>
      </c>
      <c r="D18" s="20">
        <v>3.0</v>
      </c>
      <c r="E18" s="12" t="s">
        <v>32</v>
      </c>
    </row>
    <row r="19">
      <c r="A19" s="9" t="s">
        <v>33</v>
      </c>
      <c r="B19" s="9" t="s">
        <v>16</v>
      </c>
      <c r="C19" s="19">
        <v>45715.0</v>
      </c>
      <c r="D19" s="20">
        <v>5.0</v>
      </c>
      <c r="E19" s="12" t="s">
        <v>17</v>
      </c>
    </row>
    <row r="20">
      <c r="A20" s="9" t="s">
        <v>34</v>
      </c>
      <c r="B20" s="9" t="s">
        <v>8</v>
      </c>
      <c r="C20" s="19">
        <v>45979.0</v>
      </c>
      <c r="D20" s="20">
        <v>3.0</v>
      </c>
      <c r="E20" s="1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0">
    <cfRule type="colorScale" priority="1">
      <colorScale>
        <cfvo type="min"/>
        <cfvo type="max"/>
        <color theme="0"/>
        <color rgb="FFFF0000"/>
      </colorScale>
    </cfRule>
  </conditionalFormatting>
  <conditionalFormatting sqref="A2:A100">
    <cfRule type="expression" dxfId="0" priority="2">
      <formula>COUNTIF($A$2:$A$100, A2) &gt; 1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51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21.38"/>
    <col customWidth="1" min="3" max="3" width="21.63"/>
    <col customWidth="1" min="4" max="4" width="18.88"/>
    <col customWidth="1" min="5" max="5" width="20.0"/>
    <col customWidth="1" min="6" max="7" width="19.38"/>
    <col customWidth="1" min="8" max="8" width="31.63"/>
    <col customWidth="1" min="9" max="26" width="8.63"/>
  </cols>
  <sheetData>
    <row r="1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21" t="s">
        <v>42</v>
      </c>
    </row>
    <row r="2">
      <c r="A2" s="12" t="s">
        <v>43</v>
      </c>
      <c r="B2" s="12">
        <v>450.0</v>
      </c>
      <c r="C2" s="12">
        <v>400.0</v>
      </c>
      <c r="D2" s="12">
        <v>30.0</v>
      </c>
      <c r="E2" s="12">
        <v>20.0</v>
      </c>
      <c r="F2" s="22">
        <f t="shared" ref="F2:F17" si="1">ROUND(C2/B2, 4)</f>
        <v>0.8889</v>
      </c>
      <c r="G2" s="23">
        <f t="shared" ref="G2:G17" si="2">ROUND(D2/B2, 2)</f>
        <v>0.07</v>
      </c>
      <c r="H2" s="24" t="str">
        <f t="shared" ref="H2:H17" si="3">IF(D2/B2 &gt; 0.1, "REVIEW", "OK")</f>
        <v>OK</v>
      </c>
    </row>
    <row r="3">
      <c r="A3" s="12" t="s">
        <v>44</v>
      </c>
      <c r="B3" s="12">
        <v>380.0</v>
      </c>
      <c r="C3" s="12">
        <v>320.0</v>
      </c>
      <c r="D3" s="12">
        <v>45.0</v>
      </c>
      <c r="E3" s="12">
        <v>15.0</v>
      </c>
      <c r="F3" s="22">
        <f t="shared" si="1"/>
        <v>0.8421</v>
      </c>
      <c r="G3" s="23">
        <f t="shared" si="2"/>
        <v>0.12</v>
      </c>
      <c r="H3" s="24" t="str">
        <f t="shared" si="3"/>
        <v>REVIEW</v>
      </c>
    </row>
    <row r="4">
      <c r="A4" s="12" t="s">
        <v>45</v>
      </c>
      <c r="B4" s="12">
        <v>210.0</v>
      </c>
      <c r="C4" s="12">
        <v>180.0</v>
      </c>
      <c r="D4" s="12">
        <v>20.0</v>
      </c>
      <c r="E4" s="12">
        <v>10.0</v>
      </c>
      <c r="F4" s="22">
        <f t="shared" si="1"/>
        <v>0.8571</v>
      </c>
      <c r="G4" s="23">
        <f t="shared" si="2"/>
        <v>0.1</v>
      </c>
      <c r="H4" s="24" t="str">
        <f t="shared" si="3"/>
        <v>OK</v>
      </c>
    </row>
    <row r="5">
      <c r="A5" s="12" t="s">
        <v>46</v>
      </c>
      <c r="B5" s="12">
        <v>150.0</v>
      </c>
      <c r="C5" s="12">
        <v>110.0</v>
      </c>
      <c r="D5" s="12">
        <v>35.0</v>
      </c>
      <c r="E5" s="12">
        <v>5.0</v>
      </c>
      <c r="F5" s="22">
        <f t="shared" si="1"/>
        <v>0.7333</v>
      </c>
      <c r="G5" s="23">
        <f t="shared" si="2"/>
        <v>0.23</v>
      </c>
      <c r="H5" s="24" t="str">
        <f t="shared" si="3"/>
        <v>REVIEW</v>
      </c>
    </row>
    <row r="6">
      <c r="A6" s="12" t="s">
        <v>47</v>
      </c>
      <c r="B6" s="12">
        <v>120.0</v>
      </c>
      <c r="C6" s="12">
        <v>105.0</v>
      </c>
      <c r="D6" s="12">
        <v>10.0</v>
      </c>
      <c r="E6" s="12">
        <v>5.0</v>
      </c>
      <c r="F6" s="22">
        <f t="shared" si="1"/>
        <v>0.875</v>
      </c>
      <c r="G6" s="23">
        <f t="shared" si="2"/>
        <v>0.08</v>
      </c>
      <c r="H6" s="24" t="str">
        <f t="shared" si="3"/>
        <v>OK</v>
      </c>
    </row>
    <row r="7">
      <c r="A7" s="12" t="s">
        <v>48</v>
      </c>
      <c r="B7" s="25">
        <v>132.0</v>
      </c>
      <c r="C7" s="25">
        <v>120.0</v>
      </c>
      <c r="D7" s="25">
        <v>10.0</v>
      </c>
      <c r="E7" s="25">
        <v>2.0</v>
      </c>
      <c r="F7" s="22">
        <f t="shared" si="1"/>
        <v>0.9091</v>
      </c>
      <c r="G7" s="23">
        <f t="shared" si="2"/>
        <v>0.08</v>
      </c>
      <c r="H7" s="24" t="str">
        <f t="shared" si="3"/>
        <v>OK</v>
      </c>
    </row>
    <row r="8">
      <c r="A8" s="12" t="s">
        <v>49</v>
      </c>
      <c r="B8" s="25">
        <v>54.0</v>
      </c>
      <c r="C8" s="25">
        <v>45.0</v>
      </c>
      <c r="D8" s="25">
        <v>5.0</v>
      </c>
      <c r="E8" s="25">
        <v>4.0</v>
      </c>
      <c r="F8" s="22">
        <f t="shared" si="1"/>
        <v>0.8333</v>
      </c>
      <c r="G8" s="23">
        <f t="shared" si="2"/>
        <v>0.09</v>
      </c>
      <c r="H8" s="24" t="str">
        <f t="shared" si="3"/>
        <v>OK</v>
      </c>
    </row>
    <row r="9">
      <c r="A9" s="12" t="s">
        <v>50</v>
      </c>
      <c r="B9" s="25">
        <v>45.0</v>
      </c>
      <c r="C9" s="25">
        <v>42.0</v>
      </c>
      <c r="D9" s="25">
        <v>1.0</v>
      </c>
      <c r="E9" s="25">
        <v>2.0</v>
      </c>
      <c r="F9" s="22">
        <f t="shared" si="1"/>
        <v>0.9333</v>
      </c>
      <c r="G9" s="23">
        <f t="shared" si="2"/>
        <v>0.02</v>
      </c>
      <c r="H9" s="24" t="str">
        <f t="shared" si="3"/>
        <v>OK</v>
      </c>
    </row>
    <row r="10">
      <c r="A10" s="12" t="s">
        <v>51</v>
      </c>
      <c r="B10" s="25">
        <v>123.0</v>
      </c>
      <c r="C10" s="25">
        <v>110.0</v>
      </c>
      <c r="D10" s="25">
        <v>10.0</v>
      </c>
      <c r="E10" s="25">
        <v>3.0</v>
      </c>
      <c r="F10" s="22">
        <f t="shared" si="1"/>
        <v>0.8943</v>
      </c>
      <c r="G10" s="23">
        <f t="shared" si="2"/>
        <v>0.08</v>
      </c>
      <c r="H10" s="24" t="str">
        <f t="shared" si="3"/>
        <v>OK</v>
      </c>
    </row>
    <row r="11">
      <c r="A11" s="12" t="s">
        <v>52</v>
      </c>
      <c r="B11" s="25">
        <v>45.0</v>
      </c>
      <c r="C11" s="25">
        <v>35.0</v>
      </c>
      <c r="D11" s="25">
        <v>8.0</v>
      </c>
      <c r="E11" s="25">
        <v>2.0</v>
      </c>
      <c r="F11" s="22">
        <f t="shared" si="1"/>
        <v>0.7778</v>
      </c>
      <c r="G11" s="23">
        <f t="shared" si="2"/>
        <v>0.18</v>
      </c>
      <c r="H11" s="24" t="str">
        <f t="shared" si="3"/>
        <v>REVIEW</v>
      </c>
    </row>
    <row r="12">
      <c r="A12" s="12" t="s">
        <v>53</v>
      </c>
      <c r="B12" s="25">
        <v>65.0</v>
      </c>
      <c r="C12" s="25">
        <v>50.0</v>
      </c>
      <c r="D12" s="25">
        <v>10.0</v>
      </c>
      <c r="E12" s="25">
        <v>5.0</v>
      </c>
      <c r="F12" s="22">
        <f t="shared" si="1"/>
        <v>0.7692</v>
      </c>
      <c r="G12" s="23">
        <f t="shared" si="2"/>
        <v>0.15</v>
      </c>
      <c r="H12" s="24" t="str">
        <f t="shared" si="3"/>
        <v>REVIEW</v>
      </c>
    </row>
    <row r="13">
      <c r="A13" s="12" t="s">
        <v>54</v>
      </c>
      <c r="B13" s="25">
        <v>100.0</v>
      </c>
      <c r="C13" s="25">
        <v>85.0</v>
      </c>
      <c r="D13" s="25">
        <v>10.0</v>
      </c>
      <c r="E13" s="25">
        <v>5.0</v>
      </c>
      <c r="F13" s="22">
        <f t="shared" si="1"/>
        <v>0.85</v>
      </c>
      <c r="G13" s="23">
        <f t="shared" si="2"/>
        <v>0.1</v>
      </c>
      <c r="H13" s="24" t="str">
        <f t="shared" si="3"/>
        <v>OK</v>
      </c>
    </row>
    <row r="14">
      <c r="A14" s="12" t="s">
        <v>55</v>
      </c>
      <c r="B14" s="25">
        <v>110.0</v>
      </c>
      <c r="C14" s="25">
        <v>95.0</v>
      </c>
      <c r="D14" s="25">
        <v>10.0</v>
      </c>
      <c r="E14" s="25">
        <v>5.0</v>
      </c>
      <c r="F14" s="22">
        <f t="shared" si="1"/>
        <v>0.8636</v>
      </c>
      <c r="G14" s="23">
        <f t="shared" si="2"/>
        <v>0.09</v>
      </c>
      <c r="H14" s="24" t="str">
        <f t="shared" si="3"/>
        <v>OK</v>
      </c>
    </row>
    <row r="15">
      <c r="A15" s="12" t="s">
        <v>56</v>
      </c>
      <c r="B15" s="25">
        <v>90.0</v>
      </c>
      <c r="C15" s="25">
        <v>80.0</v>
      </c>
      <c r="D15" s="25">
        <v>5.0</v>
      </c>
      <c r="E15" s="25">
        <v>5.0</v>
      </c>
      <c r="F15" s="22">
        <f t="shared" si="1"/>
        <v>0.8889</v>
      </c>
      <c r="G15" s="23">
        <f t="shared" si="2"/>
        <v>0.06</v>
      </c>
      <c r="H15" s="24" t="str">
        <f t="shared" si="3"/>
        <v>OK</v>
      </c>
    </row>
    <row r="16">
      <c r="A16" s="12" t="s">
        <v>57</v>
      </c>
      <c r="B16" s="25">
        <v>55.0</v>
      </c>
      <c r="C16" s="25">
        <v>40.0</v>
      </c>
      <c r="D16" s="25">
        <v>10.0</v>
      </c>
      <c r="E16" s="25">
        <v>5.0</v>
      </c>
      <c r="F16" s="22">
        <f t="shared" si="1"/>
        <v>0.7273</v>
      </c>
      <c r="G16" s="23">
        <f t="shared" si="2"/>
        <v>0.18</v>
      </c>
      <c r="H16" s="24" t="str">
        <f t="shared" si="3"/>
        <v>REVIEW</v>
      </c>
    </row>
    <row r="17">
      <c r="A17" s="12" t="s">
        <v>58</v>
      </c>
      <c r="B17" s="25">
        <v>60.0</v>
      </c>
      <c r="C17" s="25">
        <v>50.0</v>
      </c>
      <c r="D17" s="25">
        <v>8.0</v>
      </c>
      <c r="E17" s="25">
        <v>2.0</v>
      </c>
      <c r="F17" s="22">
        <f t="shared" si="1"/>
        <v>0.8333</v>
      </c>
      <c r="G17" s="23">
        <f t="shared" si="2"/>
        <v>0.13</v>
      </c>
      <c r="H17" s="24" t="str">
        <f t="shared" si="3"/>
        <v>REVIEW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:H17">
    <cfRule type="containsText" dxfId="1" priority="1" operator="containsText" text="REVIEW">
      <formula>NOT(ISERROR(SEARCH(("REVIEW"),(H1))))</formula>
    </cfRule>
  </conditionalFormatting>
  <conditionalFormatting sqref="H1:H17">
    <cfRule type="containsText" dxfId="2" priority="2" operator="containsText" text="OK">
      <formula>NOT(ISERROR(SEARCH(("OK"),(H1))))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512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30.75"/>
    <col customWidth="1" min="3" max="3" width="32.88"/>
    <col customWidth="1" min="4" max="4" width="19.88"/>
    <col customWidth="1" min="5" max="5" width="29.25"/>
    <col customWidth="1" min="6" max="6" width="20.75"/>
    <col customWidth="1" min="7" max="26" width="8.63"/>
  </cols>
  <sheetData>
    <row r="1">
      <c r="A1" s="26" t="s">
        <v>59</v>
      </c>
      <c r="B1" s="26" t="s">
        <v>36</v>
      </c>
      <c r="C1" s="26" t="s">
        <v>60</v>
      </c>
      <c r="D1" s="26" t="s">
        <v>9</v>
      </c>
      <c r="E1" s="26" t="s">
        <v>61</v>
      </c>
      <c r="F1" s="27" t="s">
        <v>62</v>
      </c>
    </row>
    <row r="2">
      <c r="A2" s="4" t="s">
        <v>63</v>
      </c>
      <c r="B2" s="9">
        <v>105.0</v>
      </c>
      <c r="C2" s="9">
        <v>100.0</v>
      </c>
      <c r="D2" s="28">
        <f t="shared" ref="D2:D13" si="1">B2-C2</f>
        <v>5</v>
      </c>
      <c r="E2" s="4">
        <v>7.0</v>
      </c>
      <c r="F2" s="15" t="str">
        <f t="shared" ref="F2:F13" si="2">IF(E2&lt;=14, "LEGAL COMPLIANCE", "OVER LEGAL LIMIT")</f>
        <v>LEGAL COMPLIANCE</v>
      </c>
    </row>
    <row r="3">
      <c r="A3" s="4" t="s">
        <v>64</v>
      </c>
      <c r="B3" s="9">
        <v>120.0</v>
      </c>
      <c r="C3" s="9">
        <v>115.0</v>
      </c>
      <c r="D3" s="28">
        <f t="shared" si="1"/>
        <v>5</v>
      </c>
      <c r="E3" s="4">
        <v>8.0</v>
      </c>
      <c r="F3" s="15" t="str">
        <f t="shared" si="2"/>
        <v>LEGAL COMPLIANCE</v>
      </c>
    </row>
    <row r="4">
      <c r="A4" s="4" t="s">
        <v>65</v>
      </c>
      <c r="B4" s="9">
        <v>145.0</v>
      </c>
      <c r="C4" s="9">
        <v>130.0</v>
      </c>
      <c r="D4" s="28">
        <f t="shared" si="1"/>
        <v>15</v>
      </c>
      <c r="E4" s="4">
        <v>8.0</v>
      </c>
      <c r="F4" s="15" t="str">
        <f t="shared" si="2"/>
        <v>LEGAL COMPLIANCE</v>
      </c>
    </row>
    <row r="5">
      <c r="A5" s="4" t="s">
        <v>66</v>
      </c>
      <c r="B5" s="9">
        <v>160.0</v>
      </c>
      <c r="C5" s="9">
        <v>150.0</v>
      </c>
      <c r="D5" s="28">
        <f t="shared" si="1"/>
        <v>10</v>
      </c>
      <c r="E5" s="4">
        <v>8.0</v>
      </c>
      <c r="F5" s="15" t="str">
        <f t="shared" si="2"/>
        <v>LEGAL COMPLIANCE</v>
      </c>
    </row>
    <row r="6">
      <c r="A6" s="4" t="s">
        <v>67</v>
      </c>
      <c r="B6" s="9">
        <v>190.0</v>
      </c>
      <c r="C6" s="9">
        <v>175.0</v>
      </c>
      <c r="D6" s="28">
        <f t="shared" si="1"/>
        <v>15</v>
      </c>
      <c r="E6" s="4">
        <v>9.0</v>
      </c>
      <c r="F6" s="15" t="str">
        <f t="shared" si="2"/>
        <v>LEGAL COMPLIANCE</v>
      </c>
    </row>
    <row r="7">
      <c r="A7" s="4" t="s">
        <v>68</v>
      </c>
      <c r="B7" s="9">
        <v>210.0</v>
      </c>
      <c r="C7" s="9">
        <v>190.0</v>
      </c>
      <c r="D7" s="28">
        <f t="shared" si="1"/>
        <v>20</v>
      </c>
      <c r="E7" s="4">
        <v>11.0</v>
      </c>
      <c r="F7" s="15" t="str">
        <f t="shared" si="2"/>
        <v>LEGAL COMPLIANCE</v>
      </c>
    </row>
    <row r="8">
      <c r="A8" s="4" t="s">
        <v>69</v>
      </c>
      <c r="B8" s="9">
        <v>250.0</v>
      </c>
      <c r="C8" s="9">
        <v>230.0</v>
      </c>
      <c r="D8" s="28">
        <f t="shared" si="1"/>
        <v>20</v>
      </c>
      <c r="E8" s="4">
        <v>11.0</v>
      </c>
      <c r="F8" s="15" t="str">
        <f t="shared" si="2"/>
        <v>LEGAL COMPLIANCE</v>
      </c>
    </row>
    <row r="9">
      <c r="A9" s="4" t="s">
        <v>70</v>
      </c>
      <c r="B9" s="9">
        <v>280.0</v>
      </c>
      <c r="C9" s="9">
        <v>250.0</v>
      </c>
      <c r="D9" s="28">
        <f t="shared" si="1"/>
        <v>30</v>
      </c>
      <c r="E9" s="4">
        <v>13.0</v>
      </c>
      <c r="F9" s="15" t="str">
        <f t="shared" si="2"/>
        <v>LEGAL COMPLIANCE</v>
      </c>
    </row>
    <row r="10">
      <c r="A10" s="4" t="s">
        <v>71</v>
      </c>
      <c r="B10" s="9">
        <v>310.0</v>
      </c>
      <c r="C10" s="9">
        <v>270.0</v>
      </c>
      <c r="D10" s="28">
        <f t="shared" si="1"/>
        <v>40</v>
      </c>
      <c r="E10" s="4">
        <v>15.0</v>
      </c>
      <c r="F10" s="15" t="str">
        <f t="shared" si="2"/>
        <v>OVER LEGAL LIMIT</v>
      </c>
    </row>
    <row r="11">
      <c r="A11" s="4" t="s">
        <v>72</v>
      </c>
      <c r="B11" s="9">
        <v>380.0</v>
      </c>
      <c r="C11" s="9">
        <v>320.0</v>
      </c>
      <c r="D11" s="28">
        <f t="shared" si="1"/>
        <v>60</v>
      </c>
      <c r="E11" s="4">
        <v>16.0</v>
      </c>
      <c r="F11" s="15" t="str">
        <f t="shared" si="2"/>
        <v>OVER LEGAL LIMIT</v>
      </c>
    </row>
    <row r="12">
      <c r="A12" s="4" t="s">
        <v>73</v>
      </c>
      <c r="B12" s="9">
        <v>420.0</v>
      </c>
      <c r="C12" s="9">
        <v>350.0</v>
      </c>
      <c r="D12" s="28">
        <f t="shared" si="1"/>
        <v>70</v>
      </c>
      <c r="E12" s="4">
        <v>19.0</v>
      </c>
      <c r="F12" s="15" t="str">
        <f t="shared" si="2"/>
        <v>OVER LEGAL LIMIT</v>
      </c>
    </row>
    <row r="13">
      <c r="A13" s="4" t="s">
        <v>74</v>
      </c>
      <c r="B13" s="9">
        <v>500.0</v>
      </c>
      <c r="C13" s="9">
        <v>400.0</v>
      </c>
      <c r="D13" s="28">
        <f t="shared" si="1"/>
        <v>100</v>
      </c>
      <c r="E13" s="4">
        <v>21.0</v>
      </c>
      <c r="F13" s="15" t="str">
        <f t="shared" si="2"/>
        <v>OVER LEGAL LIMIT</v>
      </c>
    </row>
    <row r="14">
      <c r="B14" s="29" t="str">
        <f>"YEAR-TO-DATE (YTD) TOTAL= " &amp; SUM(B2:B13)</f>
        <v>YEAR-TO-DATE (YTD) TOTAL= 3070</v>
      </c>
      <c r="C14" s="30" t="str">
        <f>"EFFICIENCY PERCENTAGE= " &amp; TEXT(SUM(C2:C13)/SUM(B2:B13),"0.00%")</f>
        <v>EFFICIENCY PERCENTAGE= 87.30%</v>
      </c>
      <c r="D14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:E13 F1">
    <cfRule type="colorScale" priority="1">
      <colorScale>
        <cfvo type="min"/>
        <cfvo type="max"/>
        <color rgb="FF92D050"/>
        <color rgb="FFFF0000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30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8.0"/>
    <col customWidth="1" min="3" max="3" width="38.0"/>
    <col customWidth="1" min="4" max="4" width="9.75"/>
    <col customWidth="1" min="5" max="5" width="11.25"/>
    <col customWidth="1" min="6" max="6" width="14.75"/>
    <col customWidth="1" min="7" max="7" width="34.88"/>
    <col customWidth="1" min="8" max="26" width="8.63"/>
  </cols>
  <sheetData>
    <row r="1">
      <c r="A1" s="26" t="s">
        <v>75</v>
      </c>
      <c r="B1" s="26" t="s">
        <v>76</v>
      </c>
      <c r="C1" s="32" t="s">
        <v>77</v>
      </c>
      <c r="D1" s="26" t="s">
        <v>78</v>
      </c>
      <c r="E1" s="26" t="s">
        <v>79</v>
      </c>
      <c r="F1" s="27" t="s">
        <v>80</v>
      </c>
      <c r="G1" s="27" t="s">
        <v>81</v>
      </c>
    </row>
    <row r="2">
      <c r="A2" s="4" t="s">
        <v>82</v>
      </c>
      <c r="B2" s="33">
        <v>15000.0</v>
      </c>
      <c r="C2" s="33">
        <v>14200.0</v>
      </c>
      <c r="D2" s="33">
        <f t="shared" ref="D2:D7" si="1">B2-C2</f>
        <v>800</v>
      </c>
      <c r="E2" s="34">
        <f t="shared" ref="E2:E7" si="2">C2/B2</f>
        <v>0.9466666667</v>
      </c>
      <c r="F2" s="35" t="str">
        <f t="shared" ref="F2:F7" si="3">IF(E2 &gt; 1, "OVERSPENT", IF(E2 &gt; 0.9, "AT LIMIT", "UNDER BUDGET"))</f>
        <v>AT LIMIT</v>
      </c>
      <c r="G2" s="36">
        <f t="shared" ref="G2:G7" si="4">E2*$B$8</f>
        <v>64846.66667</v>
      </c>
    </row>
    <row r="3">
      <c r="A3" s="4" t="s">
        <v>83</v>
      </c>
      <c r="B3" s="33">
        <v>25000.0</v>
      </c>
      <c r="C3" s="33">
        <v>28500.0</v>
      </c>
      <c r="D3" s="33">
        <f t="shared" si="1"/>
        <v>-3500</v>
      </c>
      <c r="E3" s="34">
        <f t="shared" si="2"/>
        <v>1.14</v>
      </c>
      <c r="F3" s="35" t="str">
        <f t="shared" si="3"/>
        <v>OVERSPENT</v>
      </c>
      <c r="G3" s="36">
        <f t="shared" si="4"/>
        <v>78090</v>
      </c>
    </row>
    <row r="4">
      <c r="A4" s="4" t="s">
        <v>84</v>
      </c>
      <c r="B4" s="33">
        <v>10000.0</v>
      </c>
      <c r="C4" s="33">
        <v>9000.0</v>
      </c>
      <c r="D4" s="33">
        <f t="shared" si="1"/>
        <v>1000</v>
      </c>
      <c r="E4" s="34">
        <f t="shared" si="2"/>
        <v>0.9</v>
      </c>
      <c r="F4" s="35" t="str">
        <f t="shared" si="3"/>
        <v>UNDER BUDGET</v>
      </c>
      <c r="G4" s="36">
        <f t="shared" si="4"/>
        <v>61650</v>
      </c>
    </row>
    <row r="5">
      <c r="A5" s="4" t="s">
        <v>85</v>
      </c>
      <c r="B5" s="33">
        <v>8000.0</v>
      </c>
      <c r="C5" s="33">
        <v>8200.0</v>
      </c>
      <c r="D5" s="33">
        <f t="shared" si="1"/>
        <v>-200</v>
      </c>
      <c r="E5" s="34">
        <f t="shared" si="2"/>
        <v>1.025</v>
      </c>
      <c r="F5" s="35" t="str">
        <f t="shared" si="3"/>
        <v>OVERSPENT</v>
      </c>
      <c r="G5" s="36">
        <f t="shared" si="4"/>
        <v>70212.5</v>
      </c>
    </row>
    <row r="6">
      <c r="A6" s="4" t="s">
        <v>86</v>
      </c>
      <c r="B6" s="33">
        <v>4500.0</v>
      </c>
      <c r="C6" s="33">
        <v>3100.0</v>
      </c>
      <c r="D6" s="33">
        <f t="shared" si="1"/>
        <v>1400</v>
      </c>
      <c r="E6" s="34">
        <f t="shared" si="2"/>
        <v>0.6888888889</v>
      </c>
      <c r="F6" s="35" t="str">
        <f t="shared" si="3"/>
        <v>UNDER BUDGET</v>
      </c>
      <c r="G6" s="36">
        <f t="shared" si="4"/>
        <v>47188.88889</v>
      </c>
    </row>
    <row r="7">
      <c r="A7" s="4" t="s">
        <v>87</v>
      </c>
      <c r="B7" s="33">
        <v>6000.0</v>
      </c>
      <c r="C7" s="33">
        <v>7500.0</v>
      </c>
      <c r="D7" s="33">
        <f t="shared" si="1"/>
        <v>-1500</v>
      </c>
      <c r="E7" s="34">
        <f t="shared" si="2"/>
        <v>1.25</v>
      </c>
      <c r="F7" s="35" t="str">
        <f t="shared" si="3"/>
        <v>OVERSPENT</v>
      </c>
      <c r="G7" s="36">
        <f t="shared" si="4"/>
        <v>85625</v>
      </c>
    </row>
    <row r="8">
      <c r="B8" s="37">
        <f>SUM(B2:B7)</f>
        <v>68500</v>
      </c>
      <c r="G8" s="38">
        <f>SUM(G2:G7)</f>
        <v>407613.0556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2841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13"/>
    <col customWidth="1" min="2" max="2" width="18.75"/>
    <col customWidth="1" min="3" max="3" width="14.88"/>
    <col customWidth="1" min="4" max="4" width="21.13"/>
    <col customWidth="1" min="5" max="5" width="17.75"/>
    <col customWidth="1" min="6" max="6" width="20.63"/>
    <col customWidth="1" min="7" max="26" width="8.63"/>
  </cols>
  <sheetData>
    <row r="1">
      <c r="A1" s="26" t="s">
        <v>59</v>
      </c>
      <c r="B1" s="26" t="s">
        <v>88</v>
      </c>
      <c r="C1" s="26" t="s">
        <v>89</v>
      </c>
      <c r="D1" s="26" t="s">
        <v>90</v>
      </c>
      <c r="E1" s="26" t="s">
        <v>91</v>
      </c>
      <c r="F1" s="26" t="s">
        <v>4</v>
      </c>
    </row>
    <row r="2">
      <c r="A2" s="4" t="s">
        <v>63</v>
      </c>
      <c r="B2" s="33">
        <v>50000.0</v>
      </c>
      <c r="C2" s="33">
        <v>25000.0</v>
      </c>
      <c r="D2" s="33">
        <v>18500.0</v>
      </c>
      <c r="E2" s="33">
        <f t="shared" ref="E2:E13" si="1">(B2+C2)-D2</f>
        <v>56500</v>
      </c>
      <c r="F2" s="39" t="str">
        <f t="shared" ref="F2:F13" si="2">IF(E2&lt;0, "DEFICIT RISK", IF(E2&lt;5000, "LOW RESERVE", "GOOD"))</f>
        <v>GOOD</v>
      </c>
    </row>
    <row r="3">
      <c r="A3" s="4" t="s">
        <v>64</v>
      </c>
      <c r="B3" s="33">
        <f t="shared" ref="B3:B13" si="3">$E2</f>
        <v>56500</v>
      </c>
      <c r="C3" s="33">
        <v>25000.0</v>
      </c>
      <c r="D3" s="33">
        <v>22000.0</v>
      </c>
      <c r="E3" s="33">
        <f t="shared" si="1"/>
        <v>59500</v>
      </c>
      <c r="F3" s="39" t="str">
        <f t="shared" si="2"/>
        <v>GOOD</v>
      </c>
    </row>
    <row r="4">
      <c r="A4" s="4" t="s">
        <v>65</v>
      </c>
      <c r="B4" s="33">
        <f t="shared" si="3"/>
        <v>59500</v>
      </c>
      <c r="C4" s="33">
        <v>10000.0</v>
      </c>
      <c r="D4" s="33">
        <v>55000.0</v>
      </c>
      <c r="E4" s="33">
        <f t="shared" si="1"/>
        <v>14500</v>
      </c>
      <c r="F4" s="39" t="str">
        <f t="shared" si="2"/>
        <v>GOOD</v>
      </c>
    </row>
    <row r="5">
      <c r="A5" s="4" t="s">
        <v>66</v>
      </c>
      <c r="B5" s="33">
        <f t="shared" si="3"/>
        <v>14500</v>
      </c>
      <c r="C5" s="33">
        <v>40000.0</v>
      </c>
      <c r="D5" s="33">
        <v>20000.0</v>
      </c>
      <c r="E5" s="33">
        <f t="shared" si="1"/>
        <v>34500</v>
      </c>
      <c r="F5" s="39" t="str">
        <f t="shared" si="2"/>
        <v>GOOD</v>
      </c>
    </row>
    <row r="6">
      <c r="A6" s="4" t="s">
        <v>67</v>
      </c>
      <c r="B6" s="33">
        <f t="shared" si="3"/>
        <v>34500</v>
      </c>
      <c r="C6" s="33">
        <v>25000.0</v>
      </c>
      <c r="D6" s="33">
        <v>24000.0</v>
      </c>
      <c r="E6" s="33">
        <f t="shared" si="1"/>
        <v>35500</v>
      </c>
      <c r="F6" s="39" t="str">
        <f t="shared" si="2"/>
        <v>GOOD</v>
      </c>
    </row>
    <row r="7">
      <c r="A7" s="4" t="s">
        <v>68</v>
      </c>
      <c r="B7" s="33">
        <f t="shared" si="3"/>
        <v>35500</v>
      </c>
      <c r="C7" s="33">
        <v>25000.0</v>
      </c>
      <c r="D7" s="33">
        <v>28000.0</v>
      </c>
      <c r="E7" s="33">
        <f t="shared" si="1"/>
        <v>32500</v>
      </c>
      <c r="F7" s="39" t="str">
        <f t="shared" si="2"/>
        <v>GOOD</v>
      </c>
    </row>
    <row r="8">
      <c r="A8" s="4" t="s">
        <v>69</v>
      </c>
      <c r="B8" s="33">
        <f t="shared" si="3"/>
        <v>32500</v>
      </c>
      <c r="C8" s="33">
        <v>15000.0</v>
      </c>
      <c r="D8" s="33">
        <v>45000.0</v>
      </c>
      <c r="E8" s="33">
        <f t="shared" si="1"/>
        <v>2500</v>
      </c>
      <c r="F8" s="39" t="str">
        <f t="shared" si="2"/>
        <v>LOW RESERVE</v>
      </c>
    </row>
    <row r="9">
      <c r="A9" s="4" t="s">
        <v>70</v>
      </c>
      <c r="B9" s="33">
        <f t="shared" si="3"/>
        <v>2500</v>
      </c>
      <c r="C9" s="33">
        <v>50000.0</v>
      </c>
      <c r="D9" s="33">
        <v>22000.0</v>
      </c>
      <c r="E9" s="33">
        <f t="shared" si="1"/>
        <v>30500</v>
      </c>
      <c r="F9" s="39" t="str">
        <f t="shared" si="2"/>
        <v>GOOD</v>
      </c>
    </row>
    <row r="10">
      <c r="A10" s="4" t="s">
        <v>71</v>
      </c>
      <c r="B10" s="33">
        <f t="shared" si="3"/>
        <v>30500</v>
      </c>
      <c r="C10" s="33">
        <v>25000.0</v>
      </c>
      <c r="D10" s="33">
        <v>24000.0</v>
      </c>
      <c r="E10" s="33">
        <f t="shared" si="1"/>
        <v>31500</v>
      </c>
      <c r="F10" s="39" t="str">
        <f t="shared" si="2"/>
        <v>GOOD</v>
      </c>
    </row>
    <row r="11">
      <c r="A11" s="4" t="s">
        <v>72</v>
      </c>
      <c r="B11" s="33">
        <f t="shared" si="3"/>
        <v>31500</v>
      </c>
      <c r="C11" s="33">
        <v>25000.0</v>
      </c>
      <c r="D11" s="33">
        <v>30000.0</v>
      </c>
      <c r="E11" s="33">
        <f t="shared" si="1"/>
        <v>26500</v>
      </c>
      <c r="F11" s="39" t="str">
        <f t="shared" si="2"/>
        <v>GOOD</v>
      </c>
    </row>
    <row r="12">
      <c r="A12" s="4" t="s">
        <v>73</v>
      </c>
      <c r="B12" s="33">
        <f t="shared" si="3"/>
        <v>26500</v>
      </c>
      <c r="C12" s="33">
        <v>25000.0</v>
      </c>
      <c r="D12" s="33">
        <v>45000.0</v>
      </c>
      <c r="E12" s="33">
        <f t="shared" si="1"/>
        <v>6500</v>
      </c>
      <c r="F12" s="39" t="str">
        <f t="shared" si="2"/>
        <v>GOOD</v>
      </c>
    </row>
    <row r="13">
      <c r="A13" s="4" t="s">
        <v>74</v>
      </c>
      <c r="B13" s="33">
        <f t="shared" si="3"/>
        <v>6500</v>
      </c>
      <c r="C13" s="33">
        <v>60000.0</v>
      </c>
      <c r="D13" s="33">
        <v>55000.0</v>
      </c>
      <c r="E13" s="33">
        <f t="shared" si="1"/>
        <v>11500</v>
      </c>
      <c r="F13" s="39" t="str">
        <f t="shared" si="2"/>
        <v>GOOD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